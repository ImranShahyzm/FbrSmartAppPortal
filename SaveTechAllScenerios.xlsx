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TAV\Weight Software With Camera\FBRInvoiceIntegration\"/>
    </mc:Choice>
  </mc:AlternateContent>
  <xr:revisionPtr revIDLastSave="0" documentId="13_ncr:1_{90C8ADA5-E2C3-4BDA-BF3F-C633C86D8F08}" xr6:coauthVersionLast="47" xr6:coauthVersionMax="47" xr10:uidLastSave="{00000000-0000-0000-0000-000000000000}"/>
  <bookViews>
    <workbookView xWindow="-120" yWindow="-120" windowWidth="25440" windowHeight="15540" xr2:uid="{325E3D28-E4C6-44A6-AD6E-BCEAC6DC84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1" i="1" l="1"/>
  <c r="V21" i="1" s="1"/>
  <c r="T21" i="1" s="1"/>
  <c r="P21" i="1"/>
  <c r="H21" i="1"/>
  <c r="D21" i="1"/>
  <c r="C21" i="1"/>
  <c r="U20" i="1" l="1"/>
  <c r="V20" i="1" s="1"/>
  <c r="P20" i="1"/>
  <c r="H20" i="1"/>
  <c r="D20" i="1"/>
  <c r="C20" i="1"/>
  <c r="S19" i="1"/>
  <c r="U19" i="1" s="1"/>
  <c r="V19" i="1" s="1"/>
  <c r="T19" i="1" s="1"/>
  <c r="P19" i="1"/>
  <c r="H19" i="1"/>
  <c r="D19" i="1"/>
  <c r="C19" i="1"/>
  <c r="U18" i="1"/>
  <c r="P18" i="1"/>
  <c r="H18" i="1"/>
  <c r="D18" i="1"/>
  <c r="C18" i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G3" i="1"/>
  <c r="P17" i="1"/>
  <c r="P16" i="1"/>
  <c r="P15" i="1"/>
  <c r="P14" i="1"/>
  <c r="P13" i="1"/>
  <c r="P12" i="1"/>
  <c r="P11" i="1"/>
  <c r="A11" i="1"/>
  <c r="AA6" i="1"/>
  <c r="AD6" i="1"/>
  <c r="AD7" i="1" s="1"/>
  <c r="AD8" i="1" s="1"/>
  <c r="AD9" i="1" s="1"/>
  <c r="AD10" i="1" s="1"/>
  <c r="AD4" i="1"/>
  <c r="AD3" i="1"/>
  <c r="H4" i="1"/>
  <c r="H5" i="1" s="1"/>
  <c r="H6" i="1" s="1"/>
  <c r="H7" i="1" s="1"/>
  <c r="H9" i="1" s="1"/>
  <c r="H10" i="1" s="1"/>
  <c r="H11" i="1" s="1"/>
  <c r="H12" i="1" s="1"/>
  <c r="H13" i="1" s="1"/>
  <c r="H14" i="1" s="1"/>
  <c r="H15" i="1" s="1"/>
  <c r="H16" i="1" s="1"/>
  <c r="H17" i="1" s="1"/>
  <c r="H3" i="1"/>
  <c r="AE3" i="1"/>
  <c r="AE4" i="1" s="1"/>
  <c r="AE6" i="1" s="1"/>
  <c r="AE7" i="1" s="1"/>
  <c r="AE8" i="1" s="1"/>
  <c r="AE9" i="1" s="1"/>
  <c r="AE1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AA3" i="1"/>
  <c r="AA4" i="1" s="1"/>
  <c r="Q3" i="1"/>
  <c r="Q4" i="1" s="1"/>
  <c r="Q7" i="1" s="1"/>
  <c r="Q8" i="1" s="1"/>
  <c r="Q9" i="1" s="1"/>
  <c r="N3" i="1"/>
  <c r="N4" i="1" s="1"/>
  <c r="N6" i="1" s="1"/>
  <c r="N7" i="1" s="1"/>
  <c r="N9" i="1" s="1"/>
  <c r="N10" i="1" s="1"/>
  <c r="P10" i="1"/>
  <c r="P9" i="1"/>
  <c r="P8" i="1"/>
  <c r="P7" i="1"/>
  <c r="P6" i="1"/>
  <c r="P5" i="1"/>
  <c r="P4" i="1"/>
  <c r="P3" i="1"/>
  <c r="S3" i="1"/>
  <c r="S4" i="1" s="1"/>
  <c r="U3" i="1"/>
  <c r="V3" i="1" s="1"/>
  <c r="T3" i="1" s="1"/>
  <c r="U2" i="1"/>
  <c r="V2" i="1" s="1"/>
  <c r="S2" i="1"/>
  <c r="A10" i="1"/>
  <c r="A9" i="1"/>
  <c r="A8" i="1"/>
  <c r="A7" i="1"/>
  <c r="A6" i="1"/>
  <c r="A5" i="1"/>
  <c r="A4" i="1"/>
  <c r="A3" i="1"/>
  <c r="A2" i="1"/>
  <c r="T20" i="1" l="1"/>
  <c r="G4" i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S5" i="1"/>
  <c r="U4" i="1"/>
  <c r="V4" i="1" s="1"/>
  <c r="T4" i="1"/>
  <c r="AA7" i="1"/>
  <c r="AA8" i="1" s="1"/>
  <c r="AA9" i="1" s="1"/>
  <c r="AA10" i="1" s="1"/>
  <c r="T2" i="1"/>
  <c r="U5" i="1"/>
  <c r="V5" i="1" s="1"/>
  <c r="S6" i="1"/>
  <c r="T5" i="1" l="1"/>
  <c r="S7" i="1"/>
  <c r="U6" i="1"/>
  <c r="V6" i="1" s="1"/>
  <c r="T6" i="1" s="1"/>
  <c r="S8" i="1" l="1"/>
  <c r="U7" i="1"/>
  <c r="V7" i="1" s="1"/>
  <c r="T7" i="1" s="1"/>
  <c r="U8" i="1" l="1"/>
  <c r="V8" i="1" s="1"/>
  <c r="T8" i="1" s="1"/>
  <c r="S9" i="1"/>
  <c r="S10" i="1" l="1"/>
  <c r="U9" i="1"/>
  <c r="V9" i="1" s="1"/>
  <c r="T9" i="1" s="1"/>
  <c r="S11" i="1" l="1"/>
  <c r="U10" i="1"/>
  <c r="V10" i="1" s="1"/>
  <c r="T10" i="1" s="1"/>
  <c r="S12" i="1" l="1"/>
  <c r="U11" i="1"/>
  <c r="V11" i="1" s="1"/>
  <c r="T11" i="1"/>
  <c r="U12" i="1" l="1"/>
  <c r="V12" i="1" s="1"/>
  <c r="S13" i="1"/>
  <c r="T12" i="1"/>
  <c r="S14" i="1" l="1"/>
  <c r="U13" i="1"/>
  <c r="V13" i="1" s="1"/>
  <c r="T13" i="1"/>
  <c r="S15" i="1" l="1"/>
  <c r="U14" i="1"/>
  <c r="V14" i="1" s="1"/>
  <c r="T14" i="1"/>
  <c r="U15" i="1" l="1"/>
  <c r="V15" i="1" s="1"/>
  <c r="S16" i="1"/>
  <c r="T15" i="1"/>
  <c r="U16" i="1" l="1"/>
  <c r="V16" i="1" s="1"/>
  <c r="S17" i="1"/>
  <c r="T16" i="1"/>
  <c r="U17" i="1" l="1"/>
  <c r="V17" i="1" s="1"/>
  <c r="T17" i="1"/>
  <c r="T18" i="1"/>
</calcChain>
</file>

<file path=xl/sharedStrings.xml><?xml version="1.0" encoding="utf-8"?>
<sst xmlns="http://schemas.openxmlformats.org/spreadsheetml/2006/main" count="279" uniqueCount="84">
  <si>
    <t>invoiceType</t>
  </si>
  <si>
    <t>invoiceDate</t>
  </si>
  <si>
    <t>sellerBusinessName</t>
  </si>
  <si>
    <t>sellerProvince</t>
  </si>
  <si>
    <t>sellerAddress</t>
  </si>
  <si>
    <t>sellerNTNCNIC</t>
  </si>
  <si>
    <t>buyerNTNCNIC</t>
  </si>
  <si>
    <t>buyerBusinessName</t>
  </si>
  <si>
    <t>buyerProvince</t>
  </si>
  <si>
    <t>buyerAddress</t>
  </si>
  <si>
    <t>invoiceRefNo</t>
  </si>
  <si>
    <t>buyerRegistrationType</t>
  </si>
  <si>
    <t>scenarioId</t>
  </si>
  <si>
    <t>hsCode</t>
  </si>
  <si>
    <t>productDescription</t>
  </si>
  <si>
    <t>rate</t>
  </si>
  <si>
    <t>uoM</t>
  </si>
  <si>
    <t>quantity</t>
  </si>
  <si>
    <t>totalValues</t>
  </si>
  <si>
    <t>valueSalesExcludingST</t>
  </si>
  <si>
    <t>salesTaxApplicable</t>
  </si>
  <si>
    <t>fixedNotifiedValueOrRetailPrice</t>
  </si>
  <si>
    <t>salesTaxWithheldAtSource</t>
  </si>
  <si>
    <t>extraTax</t>
  </si>
  <si>
    <t>furtherTax</t>
  </si>
  <si>
    <t>sroScheduleNo</t>
  </si>
  <si>
    <t>fedPayable</t>
  </si>
  <si>
    <t>discount</t>
  </si>
  <si>
    <t>saleType</t>
  </si>
  <si>
    <t>sroItemSerialNo</t>
  </si>
  <si>
    <t>Punjab</t>
  </si>
  <si>
    <t>Multan</t>
  </si>
  <si>
    <t>PUNJAB</t>
  </si>
  <si>
    <t>UniqueInvoiceID</t>
  </si>
  <si>
    <t>Adda Pul 14 Near Vehari Road Multan</t>
  </si>
  <si>
    <t>V Care</t>
  </si>
  <si>
    <t>8432.1010</t>
  </si>
  <si>
    <t>Sale Invoice</t>
  </si>
  <si>
    <t>Numbers, pieces, units</t>
  </si>
  <si>
    <t>2302059</t>
  </si>
  <si>
    <t>HUSNAIN TEXTILE MILLS (PVT.) LIMITED</t>
  </si>
  <si>
    <t>Registered</t>
  </si>
  <si>
    <t>Exempt goods</t>
  </si>
  <si>
    <t>Exempt</t>
  </si>
  <si>
    <t>Eighth Schedule Table 1</t>
  </si>
  <si>
    <t>SN006</t>
  </si>
  <si>
    <t>SN001</t>
  </si>
  <si>
    <t>Goods at standard rate (default)</t>
  </si>
  <si>
    <t>SN002</t>
  </si>
  <si>
    <t>3660212526528</t>
  </si>
  <si>
    <t>NULL</t>
  </si>
  <si>
    <t>18%</t>
  </si>
  <si>
    <t>SN005</t>
  </si>
  <si>
    <t>4.5%</t>
  </si>
  <si>
    <t>Goods at Reduced Rate</t>
  </si>
  <si>
    <t>Unregistered</t>
  </si>
  <si>
    <t>EIGHTH SCHEDULE Table 1</t>
  </si>
  <si>
    <t>FIFTH SCHEDULE</t>
  </si>
  <si>
    <t>0%</t>
  </si>
  <si>
    <t>1(ii)</t>
  </si>
  <si>
    <t>SN007</t>
  </si>
  <si>
    <t>Goods at zero-rate</t>
  </si>
  <si>
    <t>SN016</t>
  </si>
  <si>
    <t>Processing/Conversion of Goods</t>
  </si>
  <si>
    <t>3%</t>
  </si>
  <si>
    <t>SN017</t>
  </si>
  <si>
    <t>8%</t>
  </si>
  <si>
    <t>Goods (FED in ST Mode)</t>
  </si>
  <si>
    <t>SN018</t>
  </si>
  <si>
    <t xml:space="preserve"> Services (FED in ST Mode) </t>
  </si>
  <si>
    <t>SN019</t>
  </si>
  <si>
    <t>SN024</t>
  </si>
  <si>
    <t xml:space="preserve"> Services </t>
  </si>
  <si>
    <t>1(i)</t>
  </si>
  <si>
    <t>Goods as per SRO.297(|)/2023</t>
  </si>
  <si>
    <t>25%</t>
  </si>
  <si>
    <t>297(I)/2023-Table-I</t>
  </si>
  <si>
    <t>Riaz Petroliam Unit 2</t>
  </si>
  <si>
    <t>SN008</t>
  </si>
  <si>
    <t xml:space="preserve"> 3rd Schedule Goods </t>
  </si>
  <si>
    <t>SN026</t>
  </si>
  <si>
    <t>SN027</t>
  </si>
  <si>
    <t>SN028</t>
  </si>
  <si>
    <t>6684983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</si>
</sst>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quotePrefix="1"/>
    <xf numFmtId="9" fontId="0" fillId="0" borderId="0" xfId="0" applyNumberFormat="1"/>
    <xf numFmtId="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93AF3-31DB-4A69-BE35-ACCEA491814B}">
  <dimension ref="A1:AE104"/>
  <sheetViews>
    <sheetView tabSelected="1" topLeftCell="D1" workbookViewId="0">
      <selection activeCell="G3" sqref="G3"/>
    </sheetView>
  </sheetViews>
  <sheetFormatPr defaultRowHeight="15" x14ac:dyDescent="0.25"/>
  <cols>
    <col min="1" max="1" width="17.28515625" bestFit="1" customWidth="1"/>
    <col min="2" max="2" width="12.7109375" bestFit="1" customWidth="1"/>
    <col min="3" max="3" width="12.5703125" bestFit="1" customWidth="1"/>
    <col min="4" max="4" width="20.28515625" bestFit="1" customWidth="1"/>
    <col min="5" max="5" width="14.85546875" bestFit="1" customWidth="1"/>
    <col min="6" max="6" width="14" bestFit="1" customWidth="1"/>
    <col min="7" max="7" width="15" bestFit="1" customWidth="1"/>
    <col min="8" max="8" width="15.5703125" bestFit="1" customWidth="1"/>
    <col min="9" max="9" width="20.85546875" bestFit="1" customWidth="1"/>
    <col min="10" max="10" width="15.42578125" bestFit="1" customWidth="1"/>
    <col min="11" max="11" width="34.7109375" bestFit="1" customWidth="1"/>
    <col min="12" max="12" width="14.140625" bestFit="1" customWidth="1"/>
    <col min="13" max="13" width="23.7109375" bestFit="1" customWidth="1"/>
    <col min="14" max="14" width="11" bestFit="1" customWidth="1"/>
    <col min="15" max="15" width="9.5703125" bestFit="1" customWidth="1"/>
    <col min="16" max="16" width="20.28515625" bestFit="1" customWidth="1"/>
    <col min="17" max="17" width="13.5703125" customWidth="1"/>
    <col min="18" max="18" width="5.5703125" bestFit="1" customWidth="1"/>
    <col min="19" max="19" width="9.42578125" bestFit="1" customWidth="1"/>
    <col min="20" max="20" width="12" bestFit="1" customWidth="1"/>
    <col min="21" max="21" width="23.140625" bestFit="1" customWidth="1"/>
    <col min="22" max="22" width="19.42578125" bestFit="1" customWidth="1"/>
    <col min="23" max="23" width="32.7109375" bestFit="1" customWidth="1"/>
    <col min="24" max="24" width="27.5703125" bestFit="1" customWidth="1"/>
    <col min="25" max="25" width="9.28515625" bestFit="1" customWidth="1"/>
    <col min="26" max="26" width="11.28515625" bestFit="1" customWidth="1"/>
    <col min="27" max="27" width="35.5703125" customWidth="1"/>
    <col min="28" max="28" width="11.85546875" bestFit="1" customWidth="1"/>
    <col min="29" max="29" width="9.42578125" bestFit="1" customWidth="1"/>
    <col min="30" max="30" width="29.85546875" bestFit="1" customWidth="1"/>
    <col min="31" max="31" width="16.85546875" bestFit="1" customWidth="1"/>
  </cols>
  <sheetData>
    <row r="1" spans="1:31" s="1" customFormat="1" ht="15.75" x14ac:dyDescent="0.25">
      <c r="A1" s="1" t="s">
        <v>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25">
      <c r="A2">
        <f>INT((ROW()-2)/3)+1</f>
        <v>1</v>
      </c>
      <c r="B2" t="s">
        <v>37</v>
      </c>
      <c r="C2" s="2">
        <v>45905</v>
      </c>
      <c r="D2" t="s">
        <v>77</v>
      </c>
      <c r="E2" t="s">
        <v>30</v>
      </c>
      <c r="F2" t="s">
        <v>31</v>
      </c>
      <c r="G2" s="3" t="s">
        <v>83</v>
      </c>
      <c r="H2" s="3" t="s">
        <v>39</v>
      </c>
      <c r="I2" t="s">
        <v>40</v>
      </c>
      <c r="J2" t="s">
        <v>32</v>
      </c>
      <c r="K2" t="s">
        <v>34</v>
      </c>
      <c r="M2" t="s">
        <v>41</v>
      </c>
      <c r="N2" t="s">
        <v>45</v>
      </c>
      <c r="O2" s="3" t="s">
        <v>36</v>
      </c>
      <c r="P2" t="s">
        <v>35</v>
      </c>
      <c r="Q2" s="4" t="s">
        <v>43</v>
      </c>
      <c r="R2" t="s">
        <v>38</v>
      </c>
      <c r="S2">
        <f>15</f>
        <v>15</v>
      </c>
      <c r="T2">
        <f>(S2)*W2+V2</f>
        <v>9750</v>
      </c>
      <c r="U2">
        <f>W2*S2</f>
        <v>9750</v>
      </c>
      <c r="V2">
        <f>U2*0</f>
        <v>0</v>
      </c>
      <c r="W2">
        <v>650</v>
      </c>
      <c r="X2">
        <v>0</v>
      </c>
      <c r="Z2">
        <v>0</v>
      </c>
      <c r="AA2" t="s">
        <v>44</v>
      </c>
      <c r="AB2">
        <v>0</v>
      </c>
      <c r="AC2">
        <v>0</v>
      </c>
      <c r="AD2" t="s">
        <v>42</v>
      </c>
      <c r="AE2">
        <v>81</v>
      </c>
    </row>
    <row r="3" spans="1:31" x14ac:dyDescent="0.25">
      <c r="A3">
        <f t="shared" ref="A3:A11" si="0">INT((ROW()-2)/3)+1</f>
        <v>1</v>
      </c>
      <c r="B3" t="s">
        <v>37</v>
      </c>
      <c r="C3" s="2">
        <f>C2</f>
        <v>45905</v>
      </c>
      <c r="D3" t="str">
        <f>D2</f>
        <v>Riaz Petroliam Unit 2</v>
      </c>
      <c r="E3" t="s">
        <v>30</v>
      </c>
      <c r="F3" t="s">
        <v>31</v>
      </c>
      <c r="G3" t="str">
        <f>G2</f>
        <v>6684983</v>
      </c>
      <c r="H3" s="3" t="str">
        <f>H2</f>
        <v>2302059</v>
      </c>
      <c r="I3" t="s">
        <v>40</v>
      </c>
      <c r="J3" t="s">
        <v>32</v>
      </c>
      <c r="K3" t="s">
        <v>34</v>
      </c>
      <c r="M3" t="s">
        <v>41</v>
      </c>
      <c r="N3" t="str">
        <f>N2</f>
        <v>SN006</v>
      </c>
      <c r="O3" s="3" t="s">
        <v>36</v>
      </c>
      <c r="P3" t="str">
        <f>"V Care " &amp; ROW()-1</f>
        <v>V Care 2</v>
      </c>
      <c r="Q3" s="4" t="str">
        <f>Q2</f>
        <v>Exempt</v>
      </c>
      <c r="R3" t="s">
        <v>38</v>
      </c>
      <c r="S3">
        <f>S2+1</f>
        <v>16</v>
      </c>
      <c r="T3">
        <f t="shared" ref="T3:T10" si="1">(S3)*W3+V3</f>
        <v>10400</v>
      </c>
      <c r="U3">
        <f t="shared" ref="U3" si="2">W3*S3</f>
        <v>10400</v>
      </c>
      <c r="V3">
        <f t="shared" ref="V3:V4" si="3">U3*0</f>
        <v>0</v>
      </c>
      <c r="W3">
        <v>650</v>
      </c>
      <c r="X3">
        <v>0</v>
      </c>
      <c r="Z3">
        <v>0</v>
      </c>
      <c r="AA3" t="str">
        <f>AA2</f>
        <v>Eighth Schedule Table 1</v>
      </c>
      <c r="AB3">
        <v>0</v>
      </c>
      <c r="AC3">
        <v>0</v>
      </c>
      <c r="AD3" t="str">
        <f>AD2</f>
        <v>Exempt goods</v>
      </c>
      <c r="AE3">
        <f>AE2</f>
        <v>81</v>
      </c>
    </row>
    <row r="4" spans="1:31" x14ac:dyDescent="0.25">
      <c r="A4">
        <f t="shared" si="0"/>
        <v>1</v>
      </c>
      <c r="B4" t="s">
        <v>37</v>
      </c>
      <c r="C4" s="2">
        <f t="shared" ref="C4:D20" si="4">C3</f>
        <v>45905</v>
      </c>
      <c r="D4" t="str">
        <f t="shared" si="4"/>
        <v>Riaz Petroliam Unit 2</v>
      </c>
      <c r="E4" t="s">
        <v>30</v>
      </c>
      <c r="F4" t="s">
        <v>31</v>
      </c>
      <c r="G4" t="str">
        <f>G3</f>
        <v>6684983</v>
      </c>
      <c r="H4" s="3" t="str">
        <f t="shared" ref="H4:H20" si="5">H3</f>
        <v>2302059</v>
      </c>
      <c r="I4" t="s">
        <v>40</v>
      </c>
      <c r="J4" t="s">
        <v>32</v>
      </c>
      <c r="K4" t="s">
        <v>34</v>
      </c>
      <c r="M4" t="s">
        <v>41</v>
      </c>
      <c r="N4" t="str">
        <f t="shared" ref="N4:N10" si="6">N3</f>
        <v>SN006</v>
      </c>
      <c r="O4" s="3" t="s">
        <v>36</v>
      </c>
      <c r="P4" t="str">
        <f t="shared" ref="P4:P21" si="7">"V Care " &amp; ROW()-1</f>
        <v>V Care 3</v>
      </c>
      <c r="Q4" s="4" t="str">
        <f t="shared" ref="Q4:Q9" si="8">Q3</f>
        <v>Exempt</v>
      </c>
      <c r="R4" t="s">
        <v>38</v>
      </c>
      <c r="S4">
        <f t="shared" ref="S4:S19" si="9">S3+1</f>
        <v>17</v>
      </c>
      <c r="T4">
        <f t="shared" si="1"/>
        <v>11050</v>
      </c>
      <c r="U4">
        <f t="shared" ref="U4:U10" si="10">W4*S4</f>
        <v>11050</v>
      </c>
      <c r="V4">
        <f t="shared" si="3"/>
        <v>0</v>
      </c>
      <c r="W4">
        <v>650</v>
      </c>
      <c r="X4">
        <v>0</v>
      </c>
      <c r="Z4">
        <v>0</v>
      </c>
      <c r="AA4" t="str">
        <f t="shared" ref="AA4:AA10" si="11">AA3</f>
        <v>Eighth Schedule Table 1</v>
      </c>
      <c r="AB4">
        <v>0</v>
      </c>
      <c r="AC4">
        <v>0</v>
      </c>
      <c r="AD4" t="str">
        <f t="shared" ref="AD4:AD10" si="12">AD3</f>
        <v>Exempt goods</v>
      </c>
      <c r="AE4">
        <f t="shared" ref="AE4:AE10" si="13">AE3</f>
        <v>81</v>
      </c>
    </row>
    <row r="5" spans="1:31" x14ac:dyDescent="0.25">
      <c r="A5">
        <f t="shared" si="0"/>
        <v>2</v>
      </c>
      <c r="B5" t="s">
        <v>37</v>
      </c>
      <c r="C5" s="2">
        <f t="shared" si="4"/>
        <v>45905</v>
      </c>
      <c r="D5" t="str">
        <f t="shared" si="4"/>
        <v>Riaz Petroliam Unit 2</v>
      </c>
      <c r="E5" t="s">
        <v>30</v>
      </c>
      <c r="F5" t="s">
        <v>31</v>
      </c>
      <c r="G5" t="str">
        <f t="shared" ref="G5:G20" si="14">G4</f>
        <v>6684983</v>
      </c>
      <c r="H5" s="3" t="str">
        <f t="shared" si="5"/>
        <v>2302059</v>
      </c>
      <c r="I5" t="s">
        <v>40</v>
      </c>
      <c r="J5" t="s">
        <v>32</v>
      </c>
      <c r="K5" t="s">
        <v>34</v>
      </c>
      <c r="M5" t="s">
        <v>41</v>
      </c>
      <c r="N5" t="s">
        <v>46</v>
      </c>
      <c r="O5" s="3" t="s">
        <v>36</v>
      </c>
      <c r="P5" t="str">
        <f t="shared" si="7"/>
        <v>V Care 4</v>
      </c>
      <c r="Q5" s="5" t="s">
        <v>51</v>
      </c>
      <c r="R5" t="s">
        <v>38</v>
      </c>
      <c r="S5">
        <f t="shared" si="9"/>
        <v>18</v>
      </c>
      <c r="T5">
        <f t="shared" si="1"/>
        <v>13806</v>
      </c>
      <c r="U5">
        <f t="shared" si="10"/>
        <v>11700</v>
      </c>
      <c r="V5">
        <f>U5*0.18</f>
        <v>2106</v>
      </c>
      <c r="W5">
        <v>650</v>
      </c>
      <c r="X5">
        <v>0</v>
      </c>
      <c r="Z5">
        <v>0</v>
      </c>
      <c r="AA5" s="3" t="s">
        <v>50</v>
      </c>
      <c r="AB5">
        <v>0</v>
      </c>
      <c r="AC5">
        <v>0</v>
      </c>
      <c r="AD5" t="s">
        <v>47</v>
      </c>
      <c r="AE5" t="s">
        <v>50</v>
      </c>
    </row>
    <row r="6" spans="1:31" x14ac:dyDescent="0.25">
      <c r="A6">
        <f t="shared" si="0"/>
        <v>2</v>
      </c>
      <c r="B6" t="s">
        <v>37</v>
      </c>
      <c r="C6" s="2">
        <f t="shared" si="4"/>
        <v>45905</v>
      </c>
      <c r="D6" t="str">
        <f t="shared" si="4"/>
        <v>Riaz Petroliam Unit 2</v>
      </c>
      <c r="E6" t="s">
        <v>30</v>
      </c>
      <c r="F6" t="s">
        <v>31</v>
      </c>
      <c r="G6" t="str">
        <f t="shared" si="14"/>
        <v>6684983</v>
      </c>
      <c r="H6" s="3" t="str">
        <f t="shared" si="5"/>
        <v>2302059</v>
      </c>
      <c r="I6" t="s">
        <v>40</v>
      </c>
      <c r="J6" t="s">
        <v>32</v>
      </c>
      <c r="K6" t="s">
        <v>34</v>
      </c>
      <c r="M6" t="s">
        <v>41</v>
      </c>
      <c r="N6" t="str">
        <f t="shared" si="6"/>
        <v>SN001</v>
      </c>
      <c r="O6" s="3" t="s">
        <v>36</v>
      </c>
      <c r="P6" t="str">
        <f t="shared" si="7"/>
        <v>V Care 5</v>
      </c>
      <c r="Q6" s="5" t="s">
        <v>51</v>
      </c>
      <c r="R6" t="s">
        <v>38</v>
      </c>
      <c r="S6">
        <f t="shared" si="9"/>
        <v>19</v>
      </c>
      <c r="T6">
        <f t="shared" si="1"/>
        <v>14573</v>
      </c>
      <c r="U6">
        <f t="shared" si="10"/>
        <v>12350</v>
      </c>
      <c r="V6">
        <f>U6*0.18</f>
        <v>2223</v>
      </c>
      <c r="W6">
        <v>650</v>
      </c>
      <c r="X6">
        <v>0</v>
      </c>
      <c r="Z6">
        <v>0</v>
      </c>
      <c r="AA6" t="str">
        <f t="shared" si="11"/>
        <v>NULL</v>
      </c>
      <c r="AB6">
        <v>0</v>
      </c>
      <c r="AC6">
        <v>0</v>
      </c>
      <c r="AD6" t="str">
        <f t="shared" si="12"/>
        <v>Goods at standard rate (default)</v>
      </c>
      <c r="AE6" t="str">
        <f t="shared" si="13"/>
        <v>NULL</v>
      </c>
    </row>
    <row r="7" spans="1:31" x14ac:dyDescent="0.25">
      <c r="A7">
        <f t="shared" si="0"/>
        <v>2</v>
      </c>
      <c r="B7" t="s">
        <v>37</v>
      </c>
      <c r="C7" s="2">
        <f t="shared" si="4"/>
        <v>45905</v>
      </c>
      <c r="D7" t="str">
        <f t="shared" si="4"/>
        <v>Riaz Petroliam Unit 2</v>
      </c>
      <c r="E7" t="s">
        <v>30</v>
      </c>
      <c r="F7" t="s">
        <v>31</v>
      </c>
      <c r="G7" t="str">
        <f t="shared" si="14"/>
        <v>6684983</v>
      </c>
      <c r="H7" s="3" t="str">
        <f t="shared" si="5"/>
        <v>2302059</v>
      </c>
      <c r="I7" t="s">
        <v>40</v>
      </c>
      <c r="J7" t="s">
        <v>32</v>
      </c>
      <c r="K7" t="s">
        <v>34</v>
      </c>
      <c r="M7" t="s">
        <v>41</v>
      </c>
      <c r="N7" t="str">
        <f t="shared" si="6"/>
        <v>SN001</v>
      </c>
      <c r="O7" s="3" t="s">
        <v>36</v>
      </c>
      <c r="P7" t="str">
        <f t="shared" si="7"/>
        <v>V Care 6</v>
      </c>
      <c r="Q7" s="4" t="str">
        <f t="shared" si="8"/>
        <v>18%</v>
      </c>
      <c r="R7" t="s">
        <v>38</v>
      </c>
      <c r="S7">
        <f t="shared" si="9"/>
        <v>20</v>
      </c>
      <c r="T7">
        <f t="shared" si="1"/>
        <v>15340</v>
      </c>
      <c r="U7">
        <f t="shared" si="10"/>
        <v>13000</v>
      </c>
      <c r="V7">
        <f t="shared" ref="V7:V10" si="15">U7*0.18</f>
        <v>2340</v>
      </c>
      <c r="W7">
        <v>650</v>
      </c>
      <c r="X7">
        <v>0</v>
      </c>
      <c r="Z7">
        <v>0</v>
      </c>
      <c r="AA7" t="str">
        <f t="shared" si="11"/>
        <v>NULL</v>
      </c>
      <c r="AB7">
        <v>0</v>
      </c>
      <c r="AC7">
        <v>0</v>
      </c>
      <c r="AD7" t="str">
        <f t="shared" si="12"/>
        <v>Goods at standard rate (default)</v>
      </c>
      <c r="AE7" t="str">
        <f t="shared" si="13"/>
        <v>NULL</v>
      </c>
    </row>
    <row r="8" spans="1:31" x14ac:dyDescent="0.25">
      <c r="A8">
        <f t="shared" si="0"/>
        <v>3</v>
      </c>
      <c r="B8" t="s">
        <v>37</v>
      </c>
      <c r="C8" s="2">
        <f t="shared" si="4"/>
        <v>45905</v>
      </c>
      <c r="D8" t="str">
        <f t="shared" si="4"/>
        <v>Riaz Petroliam Unit 2</v>
      </c>
      <c r="E8" t="s">
        <v>30</v>
      </c>
      <c r="F8" t="s">
        <v>31</v>
      </c>
      <c r="G8" t="str">
        <f t="shared" si="14"/>
        <v>6684983</v>
      </c>
      <c r="H8" s="3" t="s">
        <v>49</v>
      </c>
      <c r="I8" t="s">
        <v>40</v>
      </c>
      <c r="J8" t="s">
        <v>32</v>
      </c>
      <c r="K8" t="s">
        <v>34</v>
      </c>
      <c r="M8" t="s">
        <v>55</v>
      </c>
      <c r="N8" t="s">
        <v>48</v>
      </c>
      <c r="O8" s="3" t="s">
        <v>36</v>
      </c>
      <c r="P8" t="str">
        <f t="shared" si="7"/>
        <v>V Care 7</v>
      </c>
      <c r="Q8" s="4" t="str">
        <f t="shared" si="8"/>
        <v>18%</v>
      </c>
      <c r="R8" t="s">
        <v>38</v>
      </c>
      <c r="S8">
        <f t="shared" si="9"/>
        <v>21</v>
      </c>
      <c r="T8">
        <f t="shared" si="1"/>
        <v>16107</v>
      </c>
      <c r="U8">
        <f t="shared" si="10"/>
        <v>13650</v>
      </c>
      <c r="V8">
        <f t="shared" si="15"/>
        <v>2457</v>
      </c>
      <c r="W8">
        <v>650</v>
      </c>
      <c r="X8">
        <v>0</v>
      </c>
      <c r="Z8">
        <v>0</v>
      </c>
      <c r="AA8" t="str">
        <f t="shared" si="11"/>
        <v>NULL</v>
      </c>
      <c r="AB8">
        <v>0</v>
      </c>
      <c r="AC8">
        <v>0</v>
      </c>
      <c r="AD8" t="str">
        <f t="shared" si="12"/>
        <v>Goods at standard rate (default)</v>
      </c>
      <c r="AE8" t="str">
        <f t="shared" si="13"/>
        <v>NULL</v>
      </c>
    </row>
    <row r="9" spans="1:31" x14ac:dyDescent="0.25">
      <c r="A9">
        <f t="shared" si="0"/>
        <v>3</v>
      </c>
      <c r="B9" t="s">
        <v>37</v>
      </c>
      <c r="C9" s="2">
        <f t="shared" si="4"/>
        <v>45905</v>
      </c>
      <c r="D9" t="str">
        <f t="shared" si="4"/>
        <v>Riaz Petroliam Unit 2</v>
      </c>
      <c r="E9" t="s">
        <v>30</v>
      </c>
      <c r="F9" t="s">
        <v>31</v>
      </c>
      <c r="G9" t="str">
        <f t="shared" si="14"/>
        <v>6684983</v>
      </c>
      <c r="H9" s="3" t="str">
        <f t="shared" si="5"/>
        <v>3660212526528</v>
      </c>
      <c r="I9" t="s">
        <v>40</v>
      </c>
      <c r="J9" t="s">
        <v>32</v>
      </c>
      <c r="K9" t="s">
        <v>34</v>
      </c>
      <c r="M9" t="s">
        <v>55</v>
      </c>
      <c r="N9" t="str">
        <f t="shared" si="6"/>
        <v>SN002</v>
      </c>
      <c r="O9" s="3" t="s">
        <v>36</v>
      </c>
      <c r="P9" t="str">
        <f t="shared" si="7"/>
        <v>V Care 8</v>
      </c>
      <c r="Q9" s="4" t="str">
        <f t="shared" si="8"/>
        <v>18%</v>
      </c>
      <c r="R9" t="s">
        <v>38</v>
      </c>
      <c r="S9">
        <f t="shared" si="9"/>
        <v>22</v>
      </c>
      <c r="T9">
        <f t="shared" si="1"/>
        <v>16874</v>
      </c>
      <c r="U9">
        <f t="shared" si="10"/>
        <v>14300</v>
      </c>
      <c r="V9">
        <f t="shared" si="15"/>
        <v>2574</v>
      </c>
      <c r="W9">
        <v>650</v>
      </c>
      <c r="X9">
        <v>0</v>
      </c>
      <c r="Z9">
        <v>0</v>
      </c>
      <c r="AA9" t="str">
        <f t="shared" si="11"/>
        <v>NULL</v>
      </c>
      <c r="AB9">
        <v>0</v>
      </c>
      <c r="AC9">
        <v>0</v>
      </c>
      <c r="AD9" t="str">
        <f t="shared" si="12"/>
        <v>Goods at standard rate (default)</v>
      </c>
      <c r="AE9" t="str">
        <f t="shared" si="13"/>
        <v>NULL</v>
      </c>
    </row>
    <row r="10" spans="1:31" x14ac:dyDescent="0.25">
      <c r="A10">
        <f t="shared" si="0"/>
        <v>3</v>
      </c>
      <c r="B10" t="s">
        <v>37</v>
      </c>
      <c r="C10" s="2">
        <f t="shared" si="4"/>
        <v>45905</v>
      </c>
      <c r="D10" t="str">
        <f t="shared" si="4"/>
        <v>Riaz Petroliam Unit 2</v>
      </c>
      <c r="E10" t="s">
        <v>30</v>
      </c>
      <c r="F10" t="s">
        <v>31</v>
      </c>
      <c r="G10" t="str">
        <f t="shared" si="14"/>
        <v>6684983</v>
      </c>
      <c r="H10" s="3" t="str">
        <f t="shared" si="5"/>
        <v>3660212526528</v>
      </c>
      <c r="I10" t="s">
        <v>40</v>
      </c>
      <c r="J10" t="s">
        <v>32</v>
      </c>
      <c r="K10" t="s">
        <v>34</v>
      </c>
      <c r="M10" t="s">
        <v>55</v>
      </c>
      <c r="N10" t="str">
        <f t="shared" si="6"/>
        <v>SN002</v>
      </c>
      <c r="O10" s="3" t="s">
        <v>36</v>
      </c>
      <c r="P10" t="str">
        <f t="shared" si="7"/>
        <v>V Care 9</v>
      </c>
      <c r="Q10" s="5" t="s">
        <v>51</v>
      </c>
      <c r="R10" t="s">
        <v>38</v>
      </c>
      <c r="S10">
        <f t="shared" si="9"/>
        <v>23</v>
      </c>
      <c r="T10">
        <f t="shared" si="1"/>
        <v>17641</v>
      </c>
      <c r="U10">
        <f t="shared" si="10"/>
        <v>14950</v>
      </c>
      <c r="V10">
        <f t="shared" si="15"/>
        <v>2691</v>
      </c>
      <c r="W10">
        <v>650</v>
      </c>
      <c r="X10">
        <v>0</v>
      </c>
      <c r="Z10">
        <v>0</v>
      </c>
      <c r="AA10" t="str">
        <f t="shared" si="11"/>
        <v>NULL</v>
      </c>
      <c r="AB10">
        <v>0</v>
      </c>
      <c r="AC10">
        <v>0</v>
      </c>
      <c r="AD10" t="str">
        <f t="shared" si="12"/>
        <v>Goods at standard rate (default)</v>
      </c>
      <c r="AE10" t="str">
        <f t="shared" si="13"/>
        <v>NULL</v>
      </c>
    </row>
    <row r="11" spans="1:31" x14ac:dyDescent="0.25">
      <c r="A11">
        <f t="shared" si="0"/>
        <v>4</v>
      </c>
      <c r="B11" t="s">
        <v>37</v>
      </c>
      <c r="C11" s="2">
        <f t="shared" si="4"/>
        <v>45905</v>
      </c>
      <c r="D11" t="str">
        <f t="shared" si="4"/>
        <v>Riaz Petroliam Unit 2</v>
      </c>
      <c r="E11" t="s">
        <v>30</v>
      </c>
      <c r="F11" t="s">
        <v>31</v>
      </c>
      <c r="G11" t="str">
        <f t="shared" si="14"/>
        <v>6684983</v>
      </c>
      <c r="H11" s="3" t="str">
        <f t="shared" si="5"/>
        <v>3660212526528</v>
      </c>
      <c r="I11" t="s">
        <v>40</v>
      </c>
      <c r="J11" t="s">
        <v>32</v>
      </c>
      <c r="K11" t="s">
        <v>34</v>
      </c>
      <c r="M11" t="s">
        <v>55</v>
      </c>
      <c r="N11" t="s">
        <v>52</v>
      </c>
      <c r="O11" s="3" t="s">
        <v>36</v>
      </c>
      <c r="P11" t="str">
        <f t="shared" si="7"/>
        <v>V Care 10</v>
      </c>
      <c r="Q11" s="5" t="s">
        <v>53</v>
      </c>
      <c r="R11" t="s">
        <v>38</v>
      </c>
      <c r="S11">
        <f t="shared" si="9"/>
        <v>24</v>
      </c>
      <c r="T11">
        <f t="shared" ref="T11" si="16">(S11)*W11+V11</f>
        <v>16302</v>
      </c>
      <c r="U11">
        <f t="shared" ref="U11" si="17">W11*S11</f>
        <v>15600</v>
      </c>
      <c r="V11">
        <f>U11*0.045</f>
        <v>702</v>
      </c>
      <c r="W11">
        <v>650</v>
      </c>
      <c r="X11">
        <v>0</v>
      </c>
      <c r="Z11">
        <v>0</v>
      </c>
      <c r="AA11" t="s">
        <v>56</v>
      </c>
      <c r="AB11">
        <v>0</v>
      </c>
      <c r="AC11">
        <v>0</v>
      </c>
      <c r="AD11" t="s">
        <v>54</v>
      </c>
      <c r="AE11">
        <v>19</v>
      </c>
    </row>
    <row r="12" spans="1:31" x14ac:dyDescent="0.25">
      <c r="A12">
        <v>5</v>
      </c>
      <c r="B12" t="s">
        <v>37</v>
      </c>
      <c r="C12" s="2">
        <f t="shared" si="4"/>
        <v>45905</v>
      </c>
      <c r="D12" t="str">
        <f t="shared" si="4"/>
        <v>Riaz Petroliam Unit 2</v>
      </c>
      <c r="E12" t="s">
        <v>30</v>
      </c>
      <c r="F12" t="s">
        <v>31</v>
      </c>
      <c r="G12" t="str">
        <f t="shared" si="14"/>
        <v>6684983</v>
      </c>
      <c r="H12" s="3" t="str">
        <f t="shared" si="5"/>
        <v>3660212526528</v>
      </c>
      <c r="I12" t="s">
        <v>40</v>
      </c>
      <c r="J12" t="s">
        <v>32</v>
      </c>
      <c r="K12" t="s">
        <v>34</v>
      </c>
      <c r="M12" t="s">
        <v>55</v>
      </c>
      <c r="N12" t="s">
        <v>60</v>
      </c>
      <c r="O12" s="3" t="s">
        <v>36</v>
      </c>
      <c r="P12" t="str">
        <f t="shared" si="7"/>
        <v>V Care 11</v>
      </c>
      <c r="Q12" s="5" t="s">
        <v>58</v>
      </c>
      <c r="R12" t="s">
        <v>38</v>
      </c>
      <c r="S12">
        <f t="shared" si="9"/>
        <v>25</v>
      </c>
      <c r="T12">
        <f t="shared" ref="T12" si="18">(S12)*W12+V12</f>
        <v>16250</v>
      </c>
      <c r="U12">
        <f t="shared" ref="U12" si="19">W12*S12</f>
        <v>16250</v>
      </c>
      <c r="V12">
        <f>U12*0</f>
        <v>0</v>
      </c>
      <c r="W12">
        <v>650</v>
      </c>
      <c r="X12">
        <v>0</v>
      </c>
      <c r="Z12">
        <v>0</v>
      </c>
      <c r="AA12" t="s">
        <v>57</v>
      </c>
      <c r="AB12">
        <v>0</v>
      </c>
      <c r="AC12">
        <v>0</v>
      </c>
      <c r="AD12" t="s">
        <v>61</v>
      </c>
      <c r="AE12" t="s">
        <v>59</v>
      </c>
    </row>
    <row r="13" spans="1:31" x14ac:dyDescent="0.25">
      <c r="A13">
        <v>6</v>
      </c>
      <c r="B13" t="s">
        <v>37</v>
      </c>
      <c r="C13" s="2">
        <f t="shared" si="4"/>
        <v>45905</v>
      </c>
      <c r="D13" t="str">
        <f t="shared" si="4"/>
        <v>Riaz Petroliam Unit 2</v>
      </c>
      <c r="E13" t="s">
        <v>30</v>
      </c>
      <c r="F13" t="s">
        <v>31</v>
      </c>
      <c r="G13" t="str">
        <f t="shared" si="14"/>
        <v>6684983</v>
      </c>
      <c r="H13" s="3" t="str">
        <f t="shared" si="5"/>
        <v>3660212526528</v>
      </c>
      <c r="I13" t="s">
        <v>40</v>
      </c>
      <c r="J13" t="s">
        <v>32</v>
      </c>
      <c r="K13" t="s">
        <v>34</v>
      </c>
      <c r="M13" t="s">
        <v>55</v>
      </c>
      <c r="N13" t="s">
        <v>62</v>
      </c>
      <c r="O13" s="3" t="s">
        <v>36</v>
      </c>
      <c r="P13" t="str">
        <f t="shared" si="7"/>
        <v>V Care 12</v>
      </c>
      <c r="Q13" s="5" t="s">
        <v>64</v>
      </c>
      <c r="R13" t="s">
        <v>38</v>
      </c>
      <c r="S13">
        <f t="shared" si="9"/>
        <v>26</v>
      </c>
      <c r="T13">
        <f t="shared" ref="T13" si="20">(S13)*W13+V13</f>
        <v>17407</v>
      </c>
      <c r="U13">
        <f t="shared" ref="U13" si="21">W13*S13</f>
        <v>16900</v>
      </c>
      <c r="V13">
        <f>U13*0.03</f>
        <v>507</v>
      </c>
      <c r="W13">
        <v>650</v>
      </c>
      <c r="X13">
        <v>0</v>
      </c>
      <c r="Z13">
        <v>0</v>
      </c>
      <c r="AA13" t="s">
        <v>50</v>
      </c>
      <c r="AB13">
        <v>0</v>
      </c>
      <c r="AC13">
        <v>0</v>
      </c>
      <c r="AD13" t="s">
        <v>63</v>
      </c>
      <c r="AE13" t="s">
        <v>50</v>
      </c>
    </row>
    <row r="14" spans="1:31" x14ac:dyDescent="0.25">
      <c r="A14">
        <v>7</v>
      </c>
      <c r="B14" t="s">
        <v>37</v>
      </c>
      <c r="C14" s="2">
        <f t="shared" si="4"/>
        <v>45905</v>
      </c>
      <c r="D14" t="str">
        <f t="shared" si="4"/>
        <v>Riaz Petroliam Unit 2</v>
      </c>
      <c r="E14" t="s">
        <v>30</v>
      </c>
      <c r="F14" t="s">
        <v>31</v>
      </c>
      <c r="G14" t="str">
        <f t="shared" si="14"/>
        <v>6684983</v>
      </c>
      <c r="H14" s="3" t="str">
        <f t="shared" si="5"/>
        <v>3660212526528</v>
      </c>
      <c r="I14" t="s">
        <v>40</v>
      </c>
      <c r="J14" t="s">
        <v>32</v>
      </c>
      <c r="K14" t="s">
        <v>34</v>
      </c>
      <c r="M14" t="s">
        <v>55</v>
      </c>
      <c r="N14" t="s">
        <v>65</v>
      </c>
      <c r="O14" s="3" t="s">
        <v>36</v>
      </c>
      <c r="P14" t="str">
        <f t="shared" si="7"/>
        <v>V Care 13</v>
      </c>
      <c r="Q14" s="5" t="s">
        <v>66</v>
      </c>
      <c r="R14" t="s">
        <v>38</v>
      </c>
      <c r="S14">
        <f t="shared" si="9"/>
        <v>27</v>
      </c>
      <c r="T14">
        <f t="shared" ref="T14" si="22">(S14)*W14+V14</f>
        <v>18954</v>
      </c>
      <c r="U14">
        <f t="shared" ref="U14" si="23">W14*S14</f>
        <v>17550</v>
      </c>
      <c r="V14">
        <f>U14*0.08</f>
        <v>1404</v>
      </c>
      <c r="W14">
        <v>650</v>
      </c>
      <c r="X14">
        <v>0</v>
      </c>
      <c r="Z14">
        <v>0</v>
      </c>
      <c r="AA14" t="s">
        <v>50</v>
      </c>
      <c r="AB14">
        <v>0</v>
      </c>
      <c r="AC14">
        <v>0</v>
      </c>
      <c r="AD14" t="s">
        <v>67</v>
      </c>
      <c r="AE14" t="s">
        <v>50</v>
      </c>
    </row>
    <row r="15" spans="1:31" x14ac:dyDescent="0.25">
      <c r="A15">
        <v>8</v>
      </c>
      <c r="B15" t="s">
        <v>37</v>
      </c>
      <c r="C15" s="2">
        <f t="shared" si="4"/>
        <v>45905</v>
      </c>
      <c r="D15" t="str">
        <f t="shared" si="4"/>
        <v>Riaz Petroliam Unit 2</v>
      </c>
      <c r="E15" t="s">
        <v>30</v>
      </c>
      <c r="F15" t="s">
        <v>31</v>
      </c>
      <c r="G15" t="str">
        <f t="shared" si="14"/>
        <v>6684983</v>
      </c>
      <c r="H15" s="3" t="str">
        <f t="shared" si="5"/>
        <v>3660212526528</v>
      </c>
      <c r="I15" t="s">
        <v>40</v>
      </c>
      <c r="J15" t="s">
        <v>32</v>
      </c>
      <c r="K15" t="s">
        <v>34</v>
      </c>
      <c r="M15" t="s">
        <v>55</v>
      </c>
      <c r="N15" t="s">
        <v>68</v>
      </c>
      <c r="O15" s="3" t="s">
        <v>36</v>
      </c>
      <c r="P15" t="str">
        <f t="shared" si="7"/>
        <v>V Care 14</v>
      </c>
      <c r="Q15" s="5" t="s">
        <v>66</v>
      </c>
      <c r="R15" t="s">
        <v>38</v>
      </c>
      <c r="S15">
        <f t="shared" si="9"/>
        <v>28</v>
      </c>
      <c r="T15">
        <f t="shared" ref="T15" si="24">(S15)*W15+V15</f>
        <v>19656</v>
      </c>
      <c r="U15">
        <f t="shared" ref="U15" si="25">W15*S15</f>
        <v>18200</v>
      </c>
      <c r="V15">
        <f>U15*0.08</f>
        <v>1456</v>
      </c>
      <c r="W15">
        <v>650</v>
      </c>
      <c r="X15">
        <v>0</v>
      </c>
      <c r="Z15">
        <v>0</v>
      </c>
      <c r="AA15" t="s">
        <v>50</v>
      </c>
      <c r="AB15">
        <v>0</v>
      </c>
      <c r="AC15">
        <v>0</v>
      </c>
      <c r="AD15" t="s">
        <v>69</v>
      </c>
      <c r="AE15" t="s">
        <v>50</v>
      </c>
    </row>
    <row r="16" spans="1:31" x14ac:dyDescent="0.25">
      <c r="A16">
        <v>9</v>
      </c>
      <c r="B16" t="s">
        <v>37</v>
      </c>
      <c r="C16" s="2">
        <f t="shared" si="4"/>
        <v>45905</v>
      </c>
      <c r="D16" t="str">
        <f t="shared" si="4"/>
        <v>Riaz Petroliam Unit 2</v>
      </c>
      <c r="E16" t="s">
        <v>30</v>
      </c>
      <c r="F16" t="s">
        <v>31</v>
      </c>
      <c r="G16" t="str">
        <f t="shared" si="14"/>
        <v>6684983</v>
      </c>
      <c r="H16" s="3" t="str">
        <f t="shared" si="5"/>
        <v>3660212526528</v>
      </c>
      <c r="I16" t="s">
        <v>40</v>
      </c>
      <c r="J16" t="s">
        <v>32</v>
      </c>
      <c r="K16" t="s">
        <v>34</v>
      </c>
      <c r="M16" t="s">
        <v>55</v>
      </c>
      <c r="N16" t="s">
        <v>70</v>
      </c>
      <c r="O16" s="3" t="s">
        <v>36</v>
      </c>
      <c r="P16" t="str">
        <f t="shared" si="7"/>
        <v>V Care 15</v>
      </c>
      <c r="Q16" s="5" t="s">
        <v>58</v>
      </c>
      <c r="R16" t="s">
        <v>38</v>
      </c>
      <c r="S16">
        <f t="shared" si="9"/>
        <v>29</v>
      </c>
      <c r="T16">
        <f t="shared" ref="T16:T17" si="26">(S16)*W16+V16</f>
        <v>18850</v>
      </c>
      <c r="U16">
        <f t="shared" ref="U16:U17" si="27">W16*S16</f>
        <v>18850</v>
      </c>
      <c r="V16">
        <f>U16*0</f>
        <v>0</v>
      </c>
      <c r="W16">
        <v>650</v>
      </c>
      <c r="X16">
        <v>0</v>
      </c>
      <c r="Z16">
        <v>0</v>
      </c>
      <c r="AA16" t="s">
        <v>57</v>
      </c>
      <c r="AB16">
        <v>0</v>
      </c>
      <c r="AC16">
        <v>0</v>
      </c>
      <c r="AD16" t="s">
        <v>72</v>
      </c>
      <c r="AE16" t="s">
        <v>73</v>
      </c>
    </row>
    <row r="17" spans="1:31" x14ac:dyDescent="0.25">
      <c r="A17">
        <v>10</v>
      </c>
      <c r="B17" t="s">
        <v>37</v>
      </c>
      <c r="C17" s="2">
        <f t="shared" si="4"/>
        <v>45905</v>
      </c>
      <c r="D17" t="str">
        <f t="shared" si="4"/>
        <v>Riaz Petroliam Unit 2</v>
      </c>
      <c r="E17" t="s">
        <v>30</v>
      </c>
      <c r="F17" t="s">
        <v>31</v>
      </c>
      <c r="G17" t="str">
        <f t="shared" si="14"/>
        <v>6684983</v>
      </c>
      <c r="H17" s="3" t="str">
        <f t="shared" si="5"/>
        <v>3660212526528</v>
      </c>
      <c r="I17" t="s">
        <v>40</v>
      </c>
      <c r="J17" t="s">
        <v>32</v>
      </c>
      <c r="K17" t="s">
        <v>34</v>
      </c>
      <c r="M17" t="s">
        <v>55</v>
      </c>
      <c r="N17" t="s">
        <v>71</v>
      </c>
      <c r="O17" s="3" t="s">
        <v>36</v>
      </c>
      <c r="P17" t="str">
        <f t="shared" si="7"/>
        <v>V Care 16</v>
      </c>
      <c r="Q17" s="5" t="s">
        <v>75</v>
      </c>
      <c r="R17" t="s">
        <v>38</v>
      </c>
      <c r="S17">
        <f t="shared" si="9"/>
        <v>30</v>
      </c>
      <c r="T17">
        <f t="shared" si="26"/>
        <v>24375</v>
      </c>
      <c r="U17">
        <f t="shared" si="27"/>
        <v>19500</v>
      </c>
      <c r="V17">
        <f>U17*0.25</f>
        <v>4875</v>
      </c>
      <c r="W17">
        <v>650</v>
      </c>
      <c r="X17">
        <v>0</v>
      </c>
      <c r="Z17">
        <v>0</v>
      </c>
      <c r="AA17" t="s">
        <v>76</v>
      </c>
      <c r="AB17">
        <v>0</v>
      </c>
      <c r="AC17">
        <v>0</v>
      </c>
      <c r="AD17" t="s">
        <v>74</v>
      </c>
      <c r="AE17">
        <v>12</v>
      </c>
    </row>
    <row r="18" spans="1:31" x14ac:dyDescent="0.25">
      <c r="A18">
        <v>11</v>
      </c>
      <c r="B18" t="s">
        <v>37</v>
      </c>
      <c r="C18" s="2">
        <f t="shared" si="4"/>
        <v>45905</v>
      </c>
      <c r="D18" t="str">
        <f t="shared" si="4"/>
        <v>Riaz Petroliam Unit 2</v>
      </c>
      <c r="E18" t="s">
        <v>30</v>
      </c>
      <c r="F18" t="s">
        <v>31</v>
      </c>
      <c r="G18" t="str">
        <f t="shared" si="14"/>
        <v>6684983</v>
      </c>
      <c r="H18" s="3" t="str">
        <f t="shared" si="5"/>
        <v>3660212526528</v>
      </c>
      <c r="I18" t="s">
        <v>40</v>
      </c>
      <c r="J18" t="s">
        <v>32</v>
      </c>
      <c r="K18" t="s">
        <v>34</v>
      </c>
      <c r="M18" t="s">
        <v>55</v>
      </c>
      <c r="N18" t="s">
        <v>78</v>
      </c>
      <c r="O18" s="3" t="s">
        <v>36</v>
      </c>
      <c r="P18" t="str">
        <f t="shared" si="7"/>
        <v>V Care 17</v>
      </c>
      <c r="Q18" s="5" t="s">
        <v>51</v>
      </c>
      <c r="R18" t="s">
        <v>38</v>
      </c>
      <c r="S18">
        <v>1</v>
      </c>
      <c r="T18">
        <f>U18+V18</f>
        <v>11.8</v>
      </c>
      <c r="U18">
        <f>ROUND(W18*S18, 2)</f>
        <v>10</v>
      </c>
      <c r="V18">
        <v>1.8</v>
      </c>
      <c r="W18">
        <v>10</v>
      </c>
      <c r="X18">
        <v>0</v>
      </c>
      <c r="Z18">
        <v>0</v>
      </c>
      <c r="AA18" t="s">
        <v>50</v>
      </c>
      <c r="AB18">
        <v>0</v>
      </c>
      <c r="AC18">
        <v>0</v>
      </c>
      <c r="AD18" t="s">
        <v>79</v>
      </c>
      <c r="AE18">
        <v>10</v>
      </c>
    </row>
    <row r="19" spans="1:31" x14ac:dyDescent="0.25">
      <c r="A19">
        <v>12</v>
      </c>
      <c r="B19" t="s">
        <v>37</v>
      </c>
      <c r="C19" s="2">
        <f t="shared" si="4"/>
        <v>45905</v>
      </c>
      <c r="D19" t="str">
        <f t="shared" si="4"/>
        <v>Riaz Petroliam Unit 2</v>
      </c>
      <c r="E19" t="s">
        <v>30</v>
      </c>
      <c r="F19" t="s">
        <v>31</v>
      </c>
      <c r="G19" t="str">
        <f t="shared" si="14"/>
        <v>6684983</v>
      </c>
      <c r="H19" s="3" t="str">
        <f t="shared" si="5"/>
        <v>3660212526528</v>
      </c>
      <c r="I19" t="s">
        <v>40</v>
      </c>
      <c r="J19" t="s">
        <v>32</v>
      </c>
      <c r="K19" t="s">
        <v>34</v>
      </c>
      <c r="M19" t="s">
        <v>55</v>
      </c>
      <c r="N19" t="s">
        <v>80</v>
      </c>
      <c r="O19" s="3" t="s">
        <v>36</v>
      </c>
      <c r="P19" t="str">
        <f t="shared" si="7"/>
        <v>V Care 18</v>
      </c>
      <c r="Q19" s="5" t="s">
        <v>51</v>
      </c>
      <c r="R19" t="s">
        <v>38</v>
      </c>
      <c r="S19">
        <f t="shared" si="9"/>
        <v>2</v>
      </c>
      <c r="T19">
        <f t="shared" ref="T19" si="28">(S19)*W19+V19</f>
        <v>1534</v>
      </c>
      <c r="U19">
        <f t="shared" ref="U19" si="29">W19*S19</f>
        <v>1300</v>
      </c>
      <c r="V19">
        <f>U19*0.18</f>
        <v>234</v>
      </c>
      <c r="W19">
        <v>650</v>
      </c>
      <c r="X19">
        <v>0</v>
      </c>
      <c r="Z19">
        <v>0</v>
      </c>
      <c r="AA19" s="3" t="s">
        <v>50</v>
      </c>
      <c r="AB19">
        <v>0</v>
      </c>
      <c r="AC19">
        <v>0</v>
      </c>
      <c r="AD19" t="s">
        <v>47</v>
      </c>
      <c r="AE19" t="s">
        <v>50</v>
      </c>
    </row>
    <row r="20" spans="1:31" x14ac:dyDescent="0.25">
      <c r="A20">
        <v>13</v>
      </c>
      <c r="B20" t="s">
        <v>37</v>
      </c>
      <c r="C20" s="2">
        <f t="shared" si="4"/>
        <v>45905</v>
      </c>
      <c r="D20" t="str">
        <f t="shared" si="4"/>
        <v>Riaz Petroliam Unit 2</v>
      </c>
      <c r="E20" t="s">
        <v>30</v>
      </c>
      <c r="F20" t="s">
        <v>31</v>
      </c>
      <c r="G20" t="str">
        <f t="shared" si="14"/>
        <v>6684983</v>
      </c>
      <c r="H20" s="3" t="str">
        <f t="shared" si="5"/>
        <v>3660212526528</v>
      </c>
      <c r="I20" t="s">
        <v>40</v>
      </c>
      <c r="J20" t="s">
        <v>32</v>
      </c>
      <c r="K20" t="s">
        <v>34</v>
      </c>
      <c r="M20" t="s">
        <v>55</v>
      </c>
      <c r="N20" t="s">
        <v>81</v>
      </c>
      <c r="O20" s="3" t="s">
        <v>36</v>
      </c>
      <c r="P20" t="str">
        <f t="shared" si="7"/>
        <v>V Care 19</v>
      </c>
      <c r="Q20" s="5" t="s">
        <v>51</v>
      </c>
      <c r="R20" t="s">
        <v>38</v>
      </c>
      <c r="S20">
        <v>1</v>
      </c>
      <c r="T20">
        <f t="shared" ref="T20:T21" si="30">(S20)*W20+V20</f>
        <v>11.8</v>
      </c>
      <c r="U20">
        <f t="shared" ref="U20:U21" si="31">W20*S20</f>
        <v>10</v>
      </c>
      <c r="V20">
        <f>U20*0.18</f>
        <v>1.7999999999999998</v>
      </c>
      <c r="W20">
        <v>10</v>
      </c>
      <c r="X20">
        <v>0</v>
      </c>
      <c r="Z20">
        <v>0</v>
      </c>
      <c r="AA20" s="3" t="s">
        <v>50</v>
      </c>
      <c r="AB20">
        <v>0</v>
      </c>
      <c r="AC20">
        <v>0</v>
      </c>
      <c r="AD20" t="s">
        <v>79</v>
      </c>
      <c r="AE20" t="s">
        <v>50</v>
      </c>
    </row>
    <row r="21" spans="1:31" x14ac:dyDescent="0.25">
      <c r="A21">
        <v>14</v>
      </c>
      <c r="B21" t="s">
        <v>37</v>
      </c>
      <c r="C21" s="2">
        <f>C20</f>
        <v>45905</v>
      </c>
      <c r="D21" t="str">
        <f>D20</f>
        <v>Riaz Petroliam Unit 2</v>
      </c>
      <c r="E21" t="s">
        <v>30</v>
      </c>
      <c r="F21" t="s">
        <v>31</v>
      </c>
      <c r="G21" t="str">
        <f>G20</f>
        <v>6684983</v>
      </c>
      <c r="H21" s="3" t="str">
        <f>H20</f>
        <v>3660212526528</v>
      </c>
      <c r="I21" t="s">
        <v>40</v>
      </c>
      <c r="J21" t="s">
        <v>32</v>
      </c>
      <c r="K21" t="s">
        <v>34</v>
      </c>
      <c r="M21" t="s">
        <v>55</v>
      </c>
      <c r="N21" t="s">
        <v>82</v>
      </c>
      <c r="O21" s="3" t="s">
        <v>36</v>
      </c>
      <c r="P21" t="str">
        <f t="shared" si="7"/>
        <v>V Care 20</v>
      </c>
      <c r="Q21" s="5" t="s">
        <v>53</v>
      </c>
      <c r="R21" t="s">
        <v>38</v>
      </c>
      <c r="S21">
        <v>1</v>
      </c>
      <c r="T21">
        <f t="shared" si="30"/>
        <v>10.45</v>
      </c>
      <c r="U21">
        <f t="shared" si="31"/>
        <v>10</v>
      </c>
      <c r="V21">
        <f>U21*0.045</f>
        <v>0.44999999999999996</v>
      </c>
      <c r="W21">
        <v>10</v>
      </c>
      <c r="X21">
        <v>0</v>
      </c>
      <c r="Z21">
        <v>0</v>
      </c>
      <c r="AA21" s="3" t="s">
        <v>56</v>
      </c>
      <c r="AB21">
        <v>0</v>
      </c>
      <c r="AC21">
        <v>0</v>
      </c>
      <c r="AD21" t="s">
        <v>54</v>
      </c>
      <c r="AE21">
        <v>19</v>
      </c>
    </row>
    <row r="22" spans="1:31" x14ac:dyDescent="0.25">
      <c r="C22" s="2"/>
      <c r="H22" s="3"/>
      <c r="O22" s="3"/>
      <c r="Q22" s="4"/>
    </row>
    <row r="23" spans="1:31" x14ac:dyDescent="0.25">
      <c r="C23" s="2"/>
      <c r="H23" s="3"/>
      <c r="O23" s="3"/>
      <c r="Q23" s="4"/>
    </row>
    <row r="24" spans="1:31" x14ac:dyDescent="0.25">
      <c r="C24" s="2"/>
      <c r="H24" s="3"/>
      <c r="O24" s="3"/>
      <c r="Q24" s="4"/>
    </row>
    <row r="25" spans="1:31" x14ac:dyDescent="0.25">
      <c r="C25" s="2"/>
      <c r="H25" s="3"/>
      <c r="O25" s="3"/>
      <c r="Q25" s="4"/>
    </row>
    <row r="26" spans="1:31" x14ac:dyDescent="0.25">
      <c r="C26" s="2"/>
      <c r="H26" s="3"/>
      <c r="O26" s="3"/>
      <c r="Q26" s="4"/>
    </row>
    <row r="27" spans="1:31" x14ac:dyDescent="0.25">
      <c r="C27" s="2"/>
      <c r="H27" s="3"/>
      <c r="O27" s="3"/>
      <c r="Q27" s="4"/>
    </row>
    <row r="28" spans="1:31" x14ac:dyDescent="0.25">
      <c r="C28" s="2"/>
      <c r="H28" s="3"/>
      <c r="O28" s="3"/>
      <c r="Q28" s="4"/>
    </row>
    <row r="29" spans="1:31" x14ac:dyDescent="0.25">
      <c r="C29" s="2"/>
      <c r="H29" s="3"/>
      <c r="O29" s="3"/>
      <c r="Q29" s="4"/>
    </row>
    <row r="30" spans="1:31" x14ac:dyDescent="0.25">
      <c r="C30" s="2"/>
      <c r="H30" s="3"/>
      <c r="O30" s="3"/>
      <c r="Q30" s="4"/>
    </row>
    <row r="31" spans="1:31" x14ac:dyDescent="0.25">
      <c r="C31" s="2"/>
      <c r="H31" s="3"/>
      <c r="O31" s="3"/>
      <c r="Q31" s="4"/>
    </row>
    <row r="32" spans="1:31" x14ac:dyDescent="0.25">
      <c r="C32" s="2"/>
      <c r="H32" s="3"/>
      <c r="O32" s="3"/>
      <c r="Q32" s="4"/>
    </row>
    <row r="33" spans="3:17" x14ac:dyDescent="0.25">
      <c r="C33" s="2"/>
      <c r="H33" s="3"/>
      <c r="O33" s="3"/>
      <c r="Q33" s="4"/>
    </row>
    <row r="34" spans="3:17" x14ac:dyDescent="0.25">
      <c r="C34" s="2"/>
      <c r="H34" s="3"/>
      <c r="O34" s="3"/>
      <c r="Q34" s="4"/>
    </row>
    <row r="35" spans="3:17" x14ac:dyDescent="0.25">
      <c r="C35" s="2"/>
      <c r="H35" s="3"/>
      <c r="O35" s="3"/>
      <c r="Q35" s="4"/>
    </row>
    <row r="36" spans="3:17" x14ac:dyDescent="0.25">
      <c r="C36" s="2"/>
      <c r="H36" s="3"/>
      <c r="O36" s="3"/>
      <c r="Q36" s="4"/>
    </row>
    <row r="37" spans="3:17" x14ac:dyDescent="0.25">
      <c r="C37" s="2"/>
      <c r="H37" s="3"/>
      <c r="O37" s="3"/>
      <c r="Q37" s="4"/>
    </row>
    <row r="38" spans="3:17" x14ac:dyDescent="0.25">
      <c r="C38" s="2"/>
      <c r="H38" s="3"/>
      <c r="O38" s="3"/>
      <c r="Q38" s="4"/>
    </row>
    <row r="39" spans="3:17" x14ac:dyDescent="0.25">
      <c r="C39" s="2"/>
      <c r="H39" s="3"/>
      <c r="O39" s="3"/>
      <c r="Q39" s="4"/>
    </row>
    <row r="40" spans="3:17" x14ac:dyDescent="0.25">
      <c r="C40" s="2"/>
      <c r="H40" s="3"/>
      <c r="O40" s="3"/>
      <c r="Q40" s="4"/>
    </row>
    <row r="41" spans="3:17" x14ac:dyDescent="0.25">
      <c r="C41" s="2"/>
      <c r="H41" s="3"/>
      <c r="O41" s="3"/>
      <c r="Q41" s="4"/>
    </row>
    <row r="42" spans="3:17" x14ac:dyDescent="0.25">
      <c r="C42" s="2"/>
      <c r="H42" s="3"/>
      <c r="O42" s="3"/>
      <c r="Q42" s="4"/>
    </row>
    <row r="43" spans="3:17" x14ac:dyDescent="0.25">
      <c r="C43" s="2"/>
      <c r="H43" s="3"/>
      <c r="O43" s="3"/>
      <c r="Q43" s="4"/>
    </row>
    <row r="44" spans="3:17" x14ac:dyDescent="0.25">
      <c r="C44" s="2"/>
      <c r="H44" s="3"/>
      <c r="O44" s="3"/>
      <c r="Q44" s="4"/>
    </row>
    <row r="45" spans="3:17" x14ac:dyDescent="0.25">
      <c r="C45" s="2"/>
      <c r="H45" s="3"/>
      <c r="O45" s="3"/>
      <c r="Q45" s="4"/>
    </row>
    <row r="46" spans="3:17" x14ac:dyDescent="0.25">
      <c r="C46" s="2"/>
      <c r="H46" s="3"/>
      <c r="O46" s="3"/>
      <c r="Q46" s="4"/>
    </row>
    <row r="47" spans="3:17" x14ac:dyDescent="0.25">
      <c r="C47" s="2"/>
      <c r="H47" s="3"/>
      <c r="O47" s="3"/>
      <c r="Q47" s="4"/>
    </row>
    <row r="48" spans="3:17" x14ac:dyDescent="0.25">
      <c r="C48" s="2"/>
      <c r="H48" s="3"/>
      <c r="O48" s="3"/>
      <c r="Q48" s="4"/>
    </row>
    <row r="49" spans="3:17" x14ac:dyDescent="0.25">
      <c r="C49" s="2"/>
      <c r="H49" s="3"/>
      <c r="O49" s="3"/>
      <c r="Q49" s="4"/>
    </row>
    <row r="50" spans="3:17" x14ac:dyDescent="0.25">
      <c r="C50" s="2"/>
      <c r="H50" s="3"/>
      <c r="O50" s="3"/>
      <c r="Q50" s="4"/>
    </row>
    <row r="51" spans="3:17" x14ac:dyDescent="0.25">
      <c r="C51" s="2"/>
      <c r="H51" s="3"/>
      <c r="O51" s="3"/>
      <c r="Q51" s="4"/>
    </row>
    <row r="52" spans="3:17" x14ac:dyDescent="0.25">
      <c r="C52" s="2"/>
      <c r="H52" s="3"/>
      <c r="O52" s="3"/>
      <c r="Q52" s="4"/>
    </row>
    <row r="53" spans="3:17" x14ac:dyDescent="0.25">
      <c r="C53" s="2"/>
      <c r="H53" s="3"/>
      <c r="O53" s="3"/>
      <c r="Q53" s="4"/>
    </row>
    <row r="54" spans="3:17" x14ac:dyDescent="0.25">
      <c r="C54" s="2"/>
      <c r="H54" s="3"/>
      <c r="O54" s="3"/>
      <c r="Q54" s="4"/>
    </row>
    <row r="55" spans="3:17" x14ac:dyDescent="0.25">
      <c r="C55" s="2"/>
      <c r="H55" s="3"/>
      <c r="O55" s="3"/>
      <c r="Q55" s="4"/>
    </row>
    <row r="56" spans="3:17" x14ac:dyDescent="0.25">
      <c r="C56" s="2"/>
      <c r="H56" s="3"/>
      <c r="O56" s="3"/>
      <c r="Q56" s="4"/>
    </row>
    <row r="57" spans="3:17" x14ac:dyDescent="0.25">
      <c r="C57" s="2"/>
      <c r="H57" s="3"/>
      <c r="O57" s="3"/>
      <c r="Q57" s="4"/>
    </row>
    <row r="58" spans="3:17" x14ac:dyDescent="0.25">
      <c r="C58" s="2"/>
      <c r="H58" s="3"/>
      <c r="O58" s="3"/>
      <c r="Q58" s="4"/>
    </row>
    <row r="59" spans="3:17" x14ac:dyDescent="0.25">
      <c r="C59" s="2"/>
      <c r="H59" s="3"/>
      <c r="O59" s="3"/>
      <c r="Q59" s="4"/>
    </row>
    <row r="60" spans="3:17" x14ac:dyDescent="0.25">
      <c r="C60" s="2"/>
      <c r="H60" s="3"/>
      <c r="O60" s="3"/>
      <c r="Q60" s="4"/>
    </row>
    <row r="61" spans="3:17" x14ac:dyDescent="0.25">
      <c r="C61" s="2"/>
      <c r="H61" s="3"/>
      <c r="O61" s="3"/>
      <c r="Q61" s="4"/>
    </row>
    <row r="62" spans="3:17" x14ac:dyDescent="0.25">
      <c r="C62" s="2"/>
      <c r="H62" s="3"/>
      <c r="O62" s="3"/>
      <c r="Q62" s="4"/>
    </row>
    <row r="63" spans="3:17" x14ac:dyDescent="0.25">
      <c r="C63" s="2"/>
      <c r="H63" s="3"/>
      <c r="O63" s="3"/>
      <c r="Q63" s="4"/>
    </row>
    <row r="64" spans="3:17" x14ac:dyDescent="0.25">
      <c r="C64" s="2"/>
      <c r="H64" s="3"/>
      <c r="O64" s="3"/>
      <c r="Q64" s="4"/>
    </row>
    <row r="65" spans="3:17" x14ac:dyDescent="0.25">
      <c r="C65" s="2"/>
      <c r="H65" s="3"/>
      <c r="O65" s="3"/>
      <c r="Q65" s="4"/>
    </row>
    <row r="66" spans="3:17" x14ac:dyDescent="0.25">
      <c r="C66" s="2"/>
      <c r="H66" s="3"/>
      <c r="O66" s="3"/>
      <c r="Q66" s="4"/>
    </row>
    <row r="67" spans="3:17" x14ac:dyDescent="0.25">
      <c r="C67" s="2"/>
      <c r="H67" s="3"/>
      <c r="O67" s="3"/>
      <c r="Q67" s="4"/>
    </row>
    <row r="68" spans="3:17" x14ac:dyDescent="0.25">
      <c r="C68" s="2"/>
      <c r="H68" s="3"/>
      <c r="O68" s="3"/>
      <c r="Q68" s="4"/>
    </row>
    <row r="69" spans="3:17" x14ac:dyDescent="0.25">
      <c r="C69" s="2"/>
      <c r="H69" s="3"/>
      <c r="O69" s="3"/>
      <c r="Q69" s="4"/>
    </row>
    <row r="70" spans="3:17" x14ac:dyDescent="0.25">
      <c r="C70" s="2"/>
      <c r="H70" s="3"/>
      <c r="O70" s="3"/>
      <c r="Q70" s="4"/>
    </row>
    <row r="71" spans="3:17" x14ac:dyDescent="0.25">
      <c r="C71" s="2"/>
      <c r="H71" s="3"/>
      <c r="O71" s="3"/>
      <c r="Q71" s="4"/>
    </row>
    <row r="72" spans="3:17" x14ac:dyDescent="0.25">
      <c r="C72" s="2"/>
      <c r="H72" s="3"/>
      <c r="O72" s="3"/>
      <c r="Q72" s="4"/>
    </row>
    <row r="73" spans="3:17" x14ac:dyDescent="0.25">
      <c r="C73" s="2"/>
      <c r="H73" s="3"/>
      <c r="O73" s="3"/>
      <c r="Q73" s="4"/>
    </row>
    <row r="74" spans="3:17" x14ac:dyDescent="0.25">
      <c r="C74" s="2"/>
      <c r="H74" s="3"/>
      <c r="O74" s="3"/>
      <c r="Q74" s="4"/>
    </row>
    <row r="75" spans="3:17" x14ac:dyDescent="0.25">
      <c r="C75" s="2"/>
      <c r="H75" s="3"/>
      <c r="O75" s="3"/>
      <c r="Q75" s="4"/>
    </row>
    <row r="76" spans="3:17" x14ac:dyDescent="0.25">
      <c r="C76" s="2"/>
      <c r="H76" s="3"/>
      <c r="O76" s="3"/>
      <c r="Q76" s="4"/>
    </row>
    <row r="77" spans="3:17" x14ac:dyDescent="0.25">
      <c r="C77" s="2"/>
      <c r="H77" s="3"/>
      <c r="O77" s="3"/>
      <c r="Q77" s="4"/>
    </row>
    <row r="78" spans="3:17" x14ac:dyDescent="0.25">
      <c r="C78" s="2"/>
      <c r="H78" s="3"/>
      <c r="O78" s="3"/>
      <c r="Q78" s="4"/>
    </row>
    <row r="79" spans="3:17" x14ac:dyDescent="0.25">
      <c r="C79" s="2"/>
      <c r="H79" s="3"/>
      <c r="O79" s="3"/>
      <c r="Q79" s="4"/>
    </row>
    <row r="80" spans="3:17" x14ac:dyDescent="0.25">
      <c r="C80" s="2"/>
      <c r="H80" s="3"/>
      <c r="O80" s="3"/>
      <c r="Q80" s="4"/>
    </row>
    <row r="81" spans="3:17" x14ac:dyDescent="0.25">
      <c r="C81" s="2"/>
      <c r="H81" s="3"/>
      <c r="O81" s="3"/>
      <c r="Q81" s="4"/>
    </row>
    <row r="82" spans="3:17" x14ac:dyDescent="0.25">
      <c r="C82" s="2"/>
      <c r="H82" s="3"/>
      <c r="O82" s="3"/>
      <c r="Q82" s="4"/>
    </row>
    <row r="83" spans="3:17" x14ac:dyDescent="0.25">
      <c r="C83" s="2"/>
      <c r="H83" s="3"/>
      <c r="O83" s="3"/>
      <c r="Q83" s="4"/>
    </row>
    <row r="84" spans="3:17" x14ac:dyDescent="0.25">
      <c r="C84" s="2"/>
      <c r="H84" s="3"/>
      <c r="O84" s="3"/>
      <c r="Q84" s="4"/>
    </row>
    <row r="85" spans="3:17" x14ac:dyDescent="0.25">
      <c r="C85" s="2"/>
      <c r="H85" s="3"/>
      <c r="O85" s="3"/>
      <c r="Q85" s="4"/>
    </row>
    <row r="86" spans="3:17" x14ac:dyDescent="0.25">
      <c r="C86" s="2"/>
      <c r="H86" s="3"/>
      <c r="O86" s="3"/>
      <c r="Q86" s="4"/>
    </row>
    <row r="87" spans="3:17" x14ac:dyDescent="0.25">
      <c r="C87" s="2"/>
      <c r="H87" s="3"/>
      <c r="O87" s="3"/>
      <c r="Q87" s="4"/>
    </row>
    <row r="88" spans="3:17" x14ac:dyDescent="0.25">
      <c r="C88" s="2"/>
      <c r="H88" s="3"/>
      <c r="O88" s="3"/>
      <c r="Q88" s="4"/>
    </row>
    <row r="89" spans="3:17" x14ac:dyDescent="0.25">
      <c r="C89" s="2"/>
      <c r="H89" s="3"/>
      <c r="O89" s="3"/>
      <c r="Q89" s="4"/>
    </row>
    <row r="90" spans="3:17" x14ac:dyDescent="0.25">
      <c r="C90" s="2"/>
      <c r="H90" s="3"/>
      <c r="O90" s="3"/>
      <c r="Q90" s="4"/>
    </row>
    <row r="91" spans="3:17" x14ac:dyDescent="0.25">
      <c r="C91" s="2"/>
      <c r="H91" s="3"/>
      <c r="O91" s="3"/>
      <c r="Q91" s="4"/>
    </row>
    <row r="92" spans="3:17" x14ac:dyDescent="0.25">
      <c r="C92" s="2"/>
      <c r="H92" s="3"/>
      <c r="O92" s="3"/>
      <c r="Q92" s="4"/>
    </row>
    <row r="93" spans="3:17" x14ac:dyDescent="0.25">
      <c r="C93" s="2"/>
      <c r="H93" s="3"/>
      <c r="O93" s="3"/>
      <c r="Q93" s="4"/>
    </row>
    <row r="94" spans="3:17" x14ac:dyDescent="0.25">
      <c r="C94" s="2"/>
      <c r="H94" s="3"/>
      <c r="O94" s="3"/>
      <c r="Q94" s="4"/>
    </row>
    <row r="95" spans="3:17" x14ac:dyDescent="0.25">
      <c r="C95" s="2"/>
      <c r="H95" s="3"/>
      <c r="O95" s="3"/>
      <c r="Q95" s="4"/>
    </row>
    <row r="96" spans="3:17" x14ac:dyDescent="0.25">
      <c r="C96" s="2"/>
      <c r="H96" s="3"/>
      <c r="O96" s="3"/>
      <c r="Q96" s="4"/>
    </row>
    <row r="97" spans="3:17" x14ac:dyDescent="0.25">
      <c r="C97" s="2"/>
      <c r="H97" s="3"/>
      <c r="O97" s="3"/>
      <c r="Q97" s="4"/>
    </row>
    <row r="98" spans="3:17" x14ac:dyDescent="0.25">
      <c r="C98" s="2"/>
      <c r="H98" s="3"/>
      <c r="O98" s="3"/>
      <c r="Q98" s="4"/>
    </row>
    <row r="99" spans="3:17" x14ac:dyDescent="0.25">
      <c r="C99" s="2"/>
      <c r="H99" s="3"/>
      <c r="O99" s="3"/>
      <c r="Q99" s="4"/>
    </row>
    <row r="100" spans="3:17" x14ac:dyDescent="0.25">
      <c r="C100" s="2"/>
      <c r="H100" s="3"/>
      <c r="O100" s="3"/>
      <c r="Q100" s="4"/>
    </row>
    <row r="101" spans="3:17" x14ac:dyDescent="0.25">
      <c r="C101" s="2"/>
      <c r="H101" s="3"/>
      <c r="O101" s="3"/>
      <c r="Q101" s="4"/>
    </row>
    <row r="102" spans="3:17" x14ac:dyDescent="0.25">
      <c r="C102" s="2"/>
      <c r="H102" s="3"/>
      <c r="O102" s="3"/>
      <c r="Q102" s="4"/>
    </row>
    <row r="103" spans="3:17" x14ac:dyDescent="0.25">
      <c r="C103" s="2"/>
      <c r="H103" s="3"/>
      <c r="O103" s="3"/>
      <c r="Q103" s="4"/>
    </row>
    <row r="104" spans="3:17" x14ac:dyDescent="0.25">
      <c r="C104" s="2"/>
      <c r="H104" s="3"/>
      <c r="O104" s="3"/>
      <c r="Q10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imranali.shah@hotmail.com</dc:creator>
  <cp:lastModifiedBy>123</cp:lastModifiedBy>
  <dcterms:created xsi:type="dcterms:W3CDTF">2025-07-02T08:34:17Z</dcterms:created>
  <dcterms:modified xsi:type="dcterms:W3CDTF">2026-02-06T13:35:27Z</dcterms:modified>
</cp:coreProperties>
</file>